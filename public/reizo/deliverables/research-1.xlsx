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75ad733fb442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" sheetId="1" r:id="R3b606b46035547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#,##0"/>
  </x:numFmts>
  <x:fonts count="5">
    <x:font>
      <x:sz val="11"/>
      <x:name val="Carlito"/>
    </x:font>
    <x:font>
      <x:sz val="11"/>
      <x:color rgb="FF243B42"/>
      <x:name val="Microsoft YaHei"/>
    </x:font>
    <x:font>
      <x:b/>
      <x:sz val="17"/>
      <x:color rgb="FF243B42"/>
      <x:name val="Microsoft YaHei"/>
    </x:font>
    <x:font>
      <x:sz val="10"/>
      <x:color rgb="FF73828B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44D5A"/>
      </x:patternFill>
    </x:fill>
    <x:fill>
      <x:patternFill patternType="solid">
        <x:fgColor rgb="FFF0F5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049efb66e34361" /><Relationship Type="http://schemas.openxmlformats.org/officeDocument/2006/relationships/theme" Target="/xl/theme/theme1.xml" Id="R408f4646d1364119" /><Relationship Type="http://schemas.openxmlformats.org/officeDocument/2006/relationships/sharedStrings" Target="/xl/sharedStrings.xml" Id="Rdd6c19b48e6e4d09" /><Relationship Type="http://schemas.openxmlformats.org/officeDocument/2006/relationships/worksheet" Target="/xl/worksheets/sheet1.xml" Id="R3b606b46035547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30" customHeight="1">
      <x:c r="A1" s="2"/>
      <x:c r="B1" s="2"/>
      <x:c r="C1" s="2"/>
      <x:c r="D1" s="2"/>
      <x:c r="E1" s="2"/>
      <x:c r="F1" s="2"/>
    </x:row>
    <x:row r="2" ht="30" customHeight="1">
      <x:c r="A2" s="3" t="str">
        <x:v>2026年上半年有效线索分析</x:v>
      </x:c>
      <x:c r="B2" s="2"/>
      <x:c r="C2" s="2"/>
      <x:c r="D2" s="2"/>
      <x:c r="E2" s="2"/>
      <x:c r="F2" s="2"/>
    </x:row>
    <x:row r="3" ht="30" customHeight="1">
      <x:c r="A3" s="4" t="str">
        <x:v>虚构项目样例，用于演示交付形式</x:v>
      </x:c>
      <x:c r="B3" s="2"/>
      <x:c r="C3" s="2"/>
      <x:c r="D3" s="2"/>
      <x:c r="E3" s="2"/>
      <x:c r="F3" s="2"/>
    </x:row>
    <x:row r="4" ht="30" customHeight="1">
      <x:c r="A4" s="2" t="str">
        <x:v>6月有效线索（条）</x:v>
      </x:c>
      <x:c r="B4" s="2" t="n">
        <x:f>E12</x:f>
        <x:v>690</x:v>
      </x:c>
      <x:c r="C4" s="2"/>
      <x:c r="D4" s="2"/>
      <x:c r="E4" s="2"/>
      <x:c r="F4" s="2"/>
    </x:row>
    <x:row r="5" ht="30" customHeight="1">
      <x:c r="A5" s="2"/>
      <x:c r="B5" s="2"/>
      <x:c r="C5" s="2"/>
      <x:c r="D5" s="2"/>
      <x:c r="E5" s="2"/>
      <x:c r="F5" s="2"/>
    </x:row>
    <x:row r="6" ht="36" customHeight="1">
      <x:c r="A6" s="7" t="str">
        <x:v>月份</x:v>
      </x:c>
      <x:c r="B6" s="7" t="str">
        <x:v>自然搜索</x:v>
      </x:c>
      <x:c r="C6" s="7" t="str">
        <x:v>内容渠道</x:v>
      </x:c>
      <x:c r="D6" s="7" t="str">
        <x:v>直接访问</x:v>
      </x:c>
      <x:c r="E6" s="7" t="str">
        <x:v>合计</x:v>
      </x:c>
      <x:c r="F6" s="7" t="str">
        <x:v>环比</x:v>
      </x:c>
    </x:row>
    <x:row r="7" ht="30" customHeight="1">
      <x:c r="A7" s="8" t="str">
        <x:v>1月</x:v>
      </x:c>
      <x:c r="B7" s="11" t="n">
        <x:v>120</x:v>
      </x:c>
      <x:c r="C7" s="11" t="n">
        <x:v>80</x:v>
      </x:c>
      <x:c r="D7" s="11" t="n">
        <x:v>60</x:v>
      </x:c>
      <x:c r="E7" s="11" t="n">
        <x:f>SUM(B7:D7)</x:f>
        <x:v>260</x:v>
      </x:c>
      <x:c r="F7" s="8"/>
    </x:row>
    <x:row r="8" ht="30" customHeight="1">
      <x:c r="A8" s="2" t="str">
        <x:v>2月</x:v>
      </x:c>
      <x:c r="B8" s="12" t="n">
        <x:v>150</x:v>
      </x:c>
      <x:c r="C8" s="12" t="n">
        <x:v>110</x:v>
      </x:c>
      <x:c r="D8" s="12" t="n">
        <x:v>70</x:v>
      </x:c>
      <x:c r="E8" s="12" t="n">
        <x:f>SUM(B8:D8)</x:f>
        <x:v>330</x:v>
      </x:c>
      <x:c r="F8" s="9" t="n">
        <x:f>E8/E7-1</x:f>
        <x:v>0.26923076923076916</x:v>
      </x:c>
    </x:row>
    <x:row r="9" ht="30" customHeight="1">
      <x:c r="A9" s="8" t="str">
        <x:v>3月</x:v>
      </x:c>
      <x:c r="B9" s="11" t="n">
        <x:v>180</x:v>
      </x:c>
      <x:c r="C9" s="11" t="n">
        <x:v>100</x:v>
      </x:c>
      <x:c r="D9" s="11" t="n">
        <x:v>90</x:v>
      </x:c>
      <x:c r="E9" s="11" t="n">
        <x:f>SUM(B9:D9)</x:f>
        <x:v>370</x:v>
      </x:c>
      <x:c r="F9" s="10" t="n">
        <x:f>E9/E8-1</x:f>
        <x:v>0.1212121212121211</x:v>
      </x:c>
    </x:row>
    <x:row r="10" ht="30" customHeight="1">
      <x:c r="A10" s="2" t="str">
        <x:v>4月</x:v>
      </x:c>
      <x:c r="B10" s="12" t="n">
        <x:v>210</x:v>
      </x:c>
      <x:c r="C10" s="12" t="n">
        <x:v>160</x:v>
      </x:c>
      <x:c r="D10" s="12" t="n">
        <x:v>100</x:v>
      </x:c>
      <x:c r="E10" s="12" t="n">
        <x:f>SUM(B10:D10)</x:f>
        <x:v>470</x:v>
      </x:c>
      <x:c r="F10" s="9" t="n">
        <x:f>E10/E9-1</x:f>
        <x:v>0.2702702702702702</x:v>
      </x:c>
    </x:row>
    <x:row r="11" ht="30" customHeight="1">
      <x:c r="A11" s="8" t="str">
        <x:v>5月</x:v>
      </x:c>
      <x:c r="B11" s="11" t="n">
        <x:v>270</x:v>
      </x:c>
      <x:c r="C11" s="11" t="n">
        <x:v>190</x:v>
      </x:c>
      <x:c r="D11" s="11" t="n">
        <x:v>120</x:v>
      </x:c>
      <x:c r="E11" s="11" t="n">
        <x:f>SUM(B11:D11)</x:f>
        <x:v>580</x:v>
      </x:c>
      <x:c r="F11" s="10" t="n">
        <x:f>E11/E10-1</x:f>
        <x:v>0.23404255319148937</x:v>
      </x:c>
    </x:row>
    <x:row r="12" ht="30" customHeight="1">
      <x:c r="A12" s="2" t="str">
        <x:v>6月</x:v>
      </x:c>
      <x:c r="B12" s="12" t="n">
        <x:v>320</x:v>
      </x:c>
      <x:c r="C12" s="12" t="n">
        <x:v>230</x:v>
      </x:c>
      <x:c r="D12" s="12" t="n">
        <x:v>140</x:v>
      </x:c>
      <x:c r="E12" s="12" t="n">
        <x:f>SUM(B12:D12)</x:f>
        <x:v>690</x:v>
      </x:c>
      <x:c r="F12" s="9" t="n">
        <x:f>E12/E11-1</x:f>
        <x:v>0.18965517241379315</x:v>
      </x:c>
    </x:row>
    <x:row r="13" ht="30" customHeight="1">
      <x:c r="A13" s="8" t="str">
        <x:v>合计</x:v>
      </x:c>
      <x:c r="B13" s="11" t="n">
        <x:f>SUM(B7:B12)</x:f>
        <x:v>1250</x:v>
      </x:c>
      <x:c r="C13" s="11" t="n">
        <x:f>SUM(C7:C12)</x:f>
        <x:v>870</x:v>
      </x:c>
      <x:c r="D13" s="11" t="n">
        <x:f>SUM(D7:D12)</x:f>
        <x:v>580</x:v>
      </x:c>
      <x:c r="E13" s="11" t="n">
        <x:f>SUM(E7:E12)</x:f>
        <x:v>2700</x:v>
      </x:c>
      <x:c r="F13" s="8"/>
    </x:row>
    <x:row r="14" ht="30" customHeight="1">
      <x:c r="A14" s="2"/>
      <x:c r="B14" s="2"/>
      <x:c r="C14" s="2"/>
      <x:c r="D14" s="2"/>
      <x:c r="E14" s="2"/>
      <x:c r="F14" s="2"/>
    </x:row>
  </x:sheetData>
  <x:pageMargins left="0.7" right="0.7" top="0.75" bottom="0.75" header="0.3" footer="0.3"/>
</x:worksheet>
</file>